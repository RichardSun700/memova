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fd92684a5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5bdd4455dc942d1"/>
    <x:sheet xmlns:r="http://schemas.openxmlformats.org/officeDocument/2006/relationships" name="Scoring" sheetId="2" r:id="R5e83d69051784617"/>
    <x:sheet xmlns:r="http://schemas.openxmlformats.org/officeDocument/2006/relationships" name="Evidence Audit" sheetId="3" r:id="R7dd23db8db844b7b"/>
    <x:sheet xmlns:r="http://schemas.openxmlformats.org/officeDocument/2006/relationships" name="Claims Map" sheetId="4" r:id="R0c30d12ac6494612"/>
    <x:sheet xmlns:r="http://schemas.openxmlformats.org/officeDocument/2006/relationships" name="Counterevidence" sheetId="5" r:id="Rcdc007233f9f4865"/>
    <x:sheet xmlns:r="http://schemas.openxmlformats.org/officeDocument/2006/relationships" name="Archetype Map" sheetId="6" r:id="Re69222094c4f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1"/>
      <x:color rgb="FF10233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338"/>
      </x:patternFill>
    </x:fill>
    <x:fill>
      <x:patternFill patternType="solid">
        <x:fgColor rgb="FFFF6F61"/>
      </x:patternFill>
    </x:fill>
    <x:fill>
      <x:patternFill patternType="solid">
        <x:fgColor rgb="FFDFF5EC"/>
      </x:patternFill>
    </x:fill>
    <x:fill>
      <x:patternFill patternType="solid">
        <x:fgColor rgb="FFF5F1E8"/>
      </x:patternFill>
    </x:fill>
  </x:fills>
  <x:borders count="2">
    <x:border/>
    <x:border>
      <x:left style="thin">
        <x:color rgb="FFCAD5DF"/>
      </x:left>
      <x:right style="thin">
        <x:color rgb="FFCAD5DF"/>
      </x:right>
      <x:top style="thin">
        <x:color rgb="FFCAD5DF"/>
      </x:top>
      <x:bottom style="thin">
        <x:color rgb="FFCAD5DF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/>
    <x:xf numFmtId="200" fontId="4" fillId="4" borderId="1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3" fillId="3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fe18f8a774ca3" /><Relationship Type="http://schemas.openxmlformats.org/officeDocument/2006/relationships/theme" Target="/xl/theme/theme1.xml" Id="Rd7216ca4d8f149f9" /><Relationship Type="http://schemas.openxmlformats.org/officeDocument/2006/relationships/sharedStrings" Target="/xl/sharedStrings.xml" Id="Rfa228769e47a4dc4" /><Relationship Type="http://schemas.openxmlformats.org/officeDocument/2006/relationships/worksheet" Target="/xl/worksheets/sheet1.xml" Id="Rf5bdd4455dc942d1" /><Relationship Type="http://schemas.openxmlformats.org/officeDocument/2006/relationships/worksheet" Target="/xl/worksheets/sheet2.xml" Id="R5e83d69051784617" /><Relationship Type="http://schemas.openxmlformats.org/officeDocument/2006/relationships/worksheet" Target="/xl/worksheets/sheet3.xml" Id="R7dd23db8db844b7b" /><Relationship Type="http://schemas.openxmlformats.org/officeDocument/2006/relationships/worksheet" Target="/xl/worksheets/sheet4.xml" Id="R0c30d12ac6494612" /><Relationship Type="http://schemas.openxmlformats.org/officeDocument/2006/relationships/worksheet" Target="/xl/worksheets/sheet5.xml" Id="Rcdc007233f9f4865" /><Relationship Type="http://schemas.openxmlformats.org/officeDocument/2006/relationships/worksheet" Target="/xl/worksheets/sheet6.xml" Id="Re69222094c4f42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18" hidden="0" customWidth="1"/>
    <x:col min="5" max="5" width="25" hidden="0" customWidth="1"/>
    <x:col min="6" max="6" width="20" hidden="0" customWidth="1"/>
  </x:cols>
  <x:sheetData>
    <x:row r="1" ht="28" customHeight="1">
      <x:c r="A1" s="28" t="str">
        <x:v>Neil Armstrong · Historical Personal User Manual</x:v>
      </x:c>
      <x:c r="B1" s="28"/>
      <x:c r="C1" s="28"/>
      <x:c r="D1" s="28"/>
      <x:c r="E1" s="28"/>
      <x:c r="F1" s="28"/>
    </x:row>
    <x:row r="2" ht="28" customHeight="1">
      <x:c r="A2" s="28"/>
      <x:c r="B2" s="28"/>
      <x:c r="C2" s="28"/>
      <x:c r="D2" s="28"/>
      <x:c r="E2" s="28"/>
      <x:c r="F2" s="28"/>
    </x:row>
    <x:row r="3" ht="28" hidden="0" customHeight="1">
      <x:c r="A3" s="29" t="str">
        <x:v>Evidence audit and scoring companion · The Builder</x:v>
      </x:c>
      <x:c r="B3" s="29"/>
      <x:c r="C3" s="29"/>
      <x:c r="D3" s="29"/>
      <x:c r="E3" s="29"/>
      <x:c r="F3" s="29"/>
    </x:row>
    <x:row r="4" ht="28" hidden="0" customHeight="1">
      <x:c r="A4" s="30"/>
      <x:c r="B4" s="30"/>
      <x:c r="C4" s="30"/>
      <x:c r="D4" s="30"/>
      <x:c r="E4" s="30"/>
      <x:c r="F4" s="30"/>
    </x:row>
    <x:row r="5" ht="28" hidden="0" customHeight="1">
      <x:c r="A5" s="31" t="str">
        <x:v>Purpose</x:v>
      </x:c>
      <x:c r="B5" s="31" t="str">
        <x:v>Evidence model</x:v>
      </x:c>
      <x:c r="C5" s="31" t="str">
        <x:v>Not claimed</x:v>
      </x:c>
      <x:c r="D5" s="31" t="str">
        <x:v>Sources</x:v>
      </x:c>
      <x:c r="E5" s="31" t="str">
        <x:v>Archetype confidence</x:v>
      </x:c>
      <x:c r="F5" s="31" t="str">
        <x:v>Evidence cutoff</x:v>
      </x:c>
    </x:row>
    <x:row r="6" ht="88" hidden="0" customHeight="1">
      <x:c r="A6" s="32" t="str">
        <x:v>Audit the historical reconstruction and make every major manual claim traceable.</x:v>
      </x:c>
      <x:c r="B6" s="32" t="str">
        <x:v>Oral history + mission records + institutional archives + named recollections, with counterevidence.</x:v>
      </x:c>
      <x:c r="C6" s="32" t="str">
        <x:v>Not self-authored; not clinical; no private-state claims without behavioral or first-person evidence.</x:v>
      </x:c>
      <x:c r="D6" s="32" t="n">
        <x:v>14</x:v>
      </x:c>
      <x:c r="E6" s="32" t="n">
        <x:v>37</x:v>
      </x:c>
      <x:c r="F6" s="32" t="str">
        <x:v>2026-08-25</x:v>
      </x:c>
    </x:row>
    <x:row r="7" ht="28" hidden="0" customHeight="1">
      <x:c r="A7" s="30"/>
      <x:c r="B7" s="30"/>
      <x:c r="C7" s="30"/>
      <x:c r="D7" s="30"/>
      <x:c r="E7" s="30"/>
      <x:c r="F7" s="30"/>
    </x:row>
    <x:row r="8" ht="28" hidden="0" customHeight="1">
      <x:c r="A8" s="31" t="str">
        <x:v>Dimension</x:v>
      </x:c>
      <x:c r="B8" s="31" t="str">
        <x:v>Right-pole score</x:v>
      </x:c>
      <x:c r="C8" s="31" t="str">
        <x:v>Selected pole</x:v>
      </x:c>
      <x:c r="D8" s="31" t="str">
        <x:v>Evidence confidence</x:v>
      </x:c>
      <x:c r="E8" s="30"/>
      <x:c r="F8" s="30"/>
    </x:row>
    <x:row r="9" ht="28" hidden="0" customHeight="1">
      <x:c r="A9" s="30" t="str">
        <x:v>Thinking</x:v>
      </x:c>
      <x:c r="B9" s="33" t="n">
        <x:f>Scoring!C23</x:f>
        <x:v>34.13157894736842</x:v>
      </x:c>
      <x:c r="C9" s="30" t="str">
        <x:v>Think it through</x:v>
      </x:c>
      <x:c r="D9" s="34" t="n">
        <x:f>Scoring!D23</x:f>
        <x:v>0.76</x:v>
      </x:c>
      <x:c r="E9" s="30"/>
      <x:c r="F9" s="30"/>
    </x:row>
    <x:row r="10" ht="28" hidden="0" customHeight="1">
      <x:c r="A10" s="30" t="str">
        <x:v>Navigation</x:v>
      </x:c>
      <x:c r="B10" s="33" t="n">
        <x:f>Scoring!C24</x:f>
        <x:v>77.54444444444444</x:v>
      </x:c>
      <x:c r="C10" s="30" t="str">
        <x:v>Map the path</x:v>
      </x:c>
      <x:c r="D10" s="34" t="n">
        <x:f>Scoring!D24</x:f>
        <x:v>0.9</x:v>
      </x:c>
      <x:c r="E10" s="30"/>
      <x:c r="F10" s="30"/>
    </x:row>
    <x:row r="11" ht="28" hidden="0" customHeight="1">
      <x:c r="A11" s="30" t="str">
        <x:v>Scope</x:v>
      </x:c>
      <x:c r="B11" s="33" t="n">
        <x:f>Scoring!C25</x:f>
        <x:v>40.53164556962025</x:v>
      </x:c>
      <x:c r="C11" s="30" t="str">
        <x:v>Go deeper</x:v>
      </x:c>
      <x:c r="D11" s="34" t="n">
        <x:f>Scoring!D25</x:f>
        <x:v>0.79</x:v>
      </x:c>
      <x:c r="E11" s="30"/>
      <x:c r="F11" s="30"/>
    </x:row>
    <x:row r="12" ht="28" hidden="0" customHeight="1">
      <x:c r="A12" s="30" t="str">
        <x:v>Expression</x:v>
      </x:c>
      <x:c r="B12" s="33" t="n">
        <x:f>Scoring!C26</x:f>
        <x:v>28.866666666666667</x:v>
      </x:c>
      <x:c r="C12" s="30" t="str">
        <x:v>Understated</x:v>
      </x:c>
      <x:c r="D12" s="34" t="n">
        <x:f>Scoring!D26</x:f>
        <x:v>0.75</x:v>
      </x:c>
      <x:c r="E12" s="30"/>
      <x:c r="F12" s="30"/>
    </x:row>
    <x:row r="13" ht="28" hidden="0" customHeight="1">
      <x:c r="A13" s="30"/>
      <x:c r="B13" s="30"/>
      <x:c r="C13" s="30"/>
      <x:c r="D13" s="30"/>
      <x:c r="E13" s="30"/>
      <x:c r="F13" s="30"/>
    </x:row>
    <x:row r="14" ht="28" hidden="0" customHeight="1">
      <x:c r="A14" s="35" t="str">
        <x:v>Interpretation boundary</x:v>
      </x:c>
      <x:c r="B14" s="35"/>
      <x:c r="C14" s="35"/>
      <x:c r="D14" s="35"/>
      <x:c r="E14" s="35"/>
      <x:c r="F14" s="35"/>
    </x:row>
    <x:row r="15" ht="36" customHeight="1">
      <x:c r="A15" s="36" t="str">
        <x:v>The four-pole archetype is an interpretive editorial model, not a validated psychometric instrument. Scores summarize the surviving work record across several roles. They do not establish a timeless personality, diagnose mental states, or replace disagreement about historical evidence. The Counterevidence sheet records the strongest reasons not to overstate each pole.</x:v>
      </x:c>
      <x:c r="B15" s="36"/>
      <x:c r="C15" s="36"/>
      <x:c r="D15" s="36"/>
      <x:c r="E15" s="36"/>
      <x:c r="F15" s="36"/>
    </x:row>
    <x:row r="16" ht="36" customHeight="1">
      <x:c r="A16" s="36"/>
      <x:c r="B16" s="36"/>
      <x:c r="C16" s="36"/>
      <x:c r="D16" s="36"/>
      <x:c r="E16" s="36"/>
      <x:c r="F16" s="36"/>
    </x:row>
    <x:row r="17" ht="36" customHeight="1">
      <x:c r="A17" s="36"/>
      <x:c r="B17" s="36"/>
      <x:c r="C17" s="36"/>
      <x:c r="D17" s="36"/>
      <x:c r="E17" s="36"/>
      <x:c r="F17" s="36"/>
    </x:row>
    <x:row r="18" ht="28" hidden="0" customHeight="1">
      <x:c r="A18" s="30"/>
      <x:c r="B18" s="30"/>
      <x:c r="C18" s="30"/>
      <x:c r="D18" s="30"/>
      <x:c r="E18" s="30"/>
      <x:c r="F18" s="30"/>
    </x:row>
    <x:row r="19" ht="28" hidden="0" customHeight="1">
      <x:c r="A19" s="31" t="str">
        <x:v>Output</x:v>
      </x:c>
      <x:c r="B19" s="31" t="str">
        <x:v>Filename</x:v>
      </x:c>
      <x:c r="C19" s="31" t="str">
        <x:v>Role</x:v>
      </x:c>
      <x:c r="D19" s="31" t="str">
        <x:v>Format</x:v>
      </x:c>
      <x:c r="E19" s="31" t="str">
        <x:v>Traceability</x:v>
      </x:c>
      <x:c r="F19" s="31" t="str">
        <x:v>Status</x:v>
      </x:c>
    </x:row>
    <x:row r="20" ht="52" hidden="0" customHeight="1">
      <x:c r="A20" s="32" t="str">
        <x:v>Manual</x:v>
      </x:c>
      <x:c r="B20" s="32" t="str">
        <x:v>neil_armstrong_personal_user_manual.html</x:v>
      </x:c>
      <x:c r="C20" s="32" t="str">
        <x:v>Filled eight-page template</x:v>
      </x:c>
      <x:c r="D20" s="32" t="str">
        <x:v>HTML</x:v>
      </x:c>
      <x:c r="E20" s="32" t="str">
        <x:v>Disclaimer + workbook link</x:v>
      </x:c>
      <x:c r="F20" s="32" t="str">
        <x:v>Generated</x:v>
      </x:c>
    </x:row>
    <x:row r="21" ht="52" hidden="0" customHeight="1">
      <x:c r="A21" s="32" t="str">
        <x:v>Structured manual</x:v>
      </x:c>
      <x:c r="B21" s="32" t="str">
        <x:v>neil_armstrong_personal_user_manual.json</x:v>
      </x:c>
      <x:c r="C21" s="32" t="str">
        <x:v>Canonical content</x:v>
      </x:c>
      <x:c r="D21" s="32" t="str">
        <x:v>JSON</x:v>
      </x:c>
      <x:c r="E21" s="32" t="str">
        <x:v>Section and dimension IDs</x:v>
      </x:c>
      <x:c r="F21" s="32" t="str">
        <x:v>Generated</x:v>
      </x:c>
    </x:row>
    <x:row r="22" ht="52" hidden="0" customHeight="1">
      <x:c r="A22" s="32" t="str">
        <x:v>Scores</x:v>
      </x:c>
      <x:c r="B22" s="32" t="str">
        <x:v>neil_armstrong_work_archetype_scores.csv</x:v>
      </x:c>
      <x:c r="C22" s="32" t="str">
        <x:v>Template-compatible scoring export</x:v>
      </x:c>
      <x:c r="D22" s="32" t="str">
        <x:v>CSV</x:v>
      </x:c>
      <x:c r="E22" s="32" t="str">
        <x:v>Indicator rows + result</x:v>
      </x:c>
      <x:c r="F22" s="32" t="str">
        <x:v>Generated</x:v>
      </x:c>
    </x:row>
    <x:row r="23" ht="52" hidden="0" customHeight="1">
      <x:c r="A23" s="32" t="str">
        <x:v>Sources</x:v>
      </x:c>
      <x:c r="B23" s="32" t="str">
        <x:v>neil_armstrong_source_audit.csv</x:v>
      </x:c>
      <x:c r="C23" s="32" t="str">
        <x:v>Portable source audit</x:v>
      </x:c>
      <x:c r="D23" s="32" t="str">
        <x:v>CSV</x:v>
      </x:c>
      <x:c r="E23" s="32" t="str">
        <x:v>Source IDs + URLs</x:v>
      </x:c>
      <x:c r="F23" s="32" t="str">
        <x:v>Generated</x:v>
      </x:c>
    </x:row>
  </x:sheetData>
  <x:mergeCells>
    <x:mergeCell ref="A1:F2"/>
    <x:mergeCell ref="A3:F3"/>
    <x:mergeCell ref="A14:F14"/>
    <x:mergeCell ref="A15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5" hidden="0" customWidth="1"/>
  </x:cols>
  <x:sheetData>
    <x:row r="1" ht="39.599998474121094" hidden="0" customHeight="1">
      <x:c r="A1" s="31" t="str">
        <x:v>record_type</x:v>
      </x:c>
      <x:c r="B1" s="31" t="str">
        <x:v>dimension_or_indicator</x:v>
      </x:c>
      <x:c r="C1" s="31" t="str">
        <x:v>score_0_100</x:v>
      </x:c>
      <x:c r="D1" s="31" t="str">
        <x:v>evidence_confidence_0_1</x:v>
      </x:c>
      <x:c r="E1" s="31" t="str">
        <x:v>normalized_right_pole</x:v>
      </x:c>
      <x:c r="F1" s="31" t="str">
        <x:v>dimension_group</x:v>
      </x:c>
      <x:c r="G1" s="31" t="str">
        <x:v>weighted_contribution</x:v>
      </x:c>
      <x:c r="H1" s="31" t="str">
        <x:v>notes</x:v>
      </x:c>
    </x:row>
    <x:row r="2" ht="15" hidden="0" customHeight="1">
      <x:c r="A2" s="30" t="str">
        <x:v>indicator</x:v>
      </x:c>
      <x:c r="B2" s="30" t="str">
        <x:v>Dialogic idea development</x:v>
      </x:c>
      <x:c r="C2" s="33" t="n">
        <x:v>40</x:v>
      </x:c>
      <x:c r="D2" s="34" t="n">
        <x:v>0.65</x:v>
      </x:c>
      <x:c r="E2" s="30" t="str">
        <x:v>Talk it through</x:v>
      </x:c>
      <x:c r="F2" s="30" t="str">
        <x:v>Thinking</x:v>
      </x:c>
      <x:c r="G2" s="37" t="n">
        <x:f>C2*D2</x:f>
        <x:v>26</x:v>
      </x:c>
      <x:c r="H2" s="30" t="str">
        <x:v>Engaged experts and crews, but tended to arrive with a formed operational model.</x:v>
      </x:c>
    </x:row>
    <x:row r="3" ht="15" hidden="0" customHeight="1">
      <x:c r="A3" s="30" t="str">
        <x:v>indicator</x:v>
      </x:c>
      <x:c r="B3" s="30" t="str">
        <x:v>Preference for public/social exchange</x:v>
      </x:c>
      <x:c r="C3" s="33" t="n">
        <x:v>25</x:v>
      </x:c>
      <x:c r="D3" s="34" t="n">
        <x:v>0.8</x:v>
      </x:c>
      <x:c r="E3" s="30" t="str">
        <x:v>Talk it through</x:v>
      </x:c>
      <x:c r="F3" s="30" t="str">
        <x:v>Thinking</x:v>
      </x:c>
      <x:c r="G3" s="37" t="n">
        <x:f>C3*D3</x:f>
        <x:v>20</x:v>
      </x:c>
      <x:c r="H3" s="30" t="str">
        <x:v>Limited celebrity exposure and strong privacy; reserve should not be read as isolation.</x:v>
      </x:c>
    </x:row>
    <x:row r="4" ht="15" hidden="0" customHeight="1">
      <x:c r="A4" s="30" t="str">
        <x:v>indicator</x:v>
      </x:c>
      <x:c r="B4" s="30" t="str">
        <x:v>Team exchange as a thinking tool</x:v>
      </x:c>
      <x:c r="C4" s="33" t="n">
        <x:v>55</x:v>
      </x:c>
      <x:c r="D4" s="34" t="n">
        <x:v>0.8</x:v>
      </x:c>
      <x:c r="E4" s="30" t="str">
        <x:v>Talk it through</x:v>
      </x:c>
      <x:c r="F4" s="30" t="str">
        <x:v>Thinking</x:v>
      </x:c>
      <x:c r="G4" s="37" t="n">
        <x:f>C4*D4</x:f>
        <x:v>44</x:v>
      </x:c>
      <x:c r="H4" s="30" t="str">
        <x:v>Continuous technical exchange with specialists and Mission Control.</x:v>
      </x:c>
    </x:row>
    <x:row r="5" ht="15" hidden="0" customHeight="1">
      <x:c r="A5" s="30" t="str">
        <x:v>indicator</x:v>
      </x:c>
      <x:c r="B5" s="30" t="str">
        <x:v>Independent pre-formation (reverse coded)</x:v>
      </x:c>
      <x:c r="C5" s="33" t="n">
        <x:v>22</x:v>
      </x:c>
      <x:c r="D5" s="34" t="n">
        <x:v>0.85</x:v>
      </x:c>
      <x:c r="E5" s="30" t="str">
        <x:v>Talk it through</x:v>
      </x:c>
      <x:c r="F5" s="30" t="str">
        <x:v>Thinking</x:v>
      </x:c>
      <x:c r="G5" s="37" t="n">
        <x:f>C5*D5</x:f>
        <x:v>18.7</x:v>
      </x:c>
      <x:c r="H5" s="30" t="str">
        <x:v>Self-directed reading, solo projects, and internal model-building pull toward Think it through.</x:v>
      </x:c>
    </x:row>
    <x:row r="6" ht="15" hidden="0" customHeight="1">
      <x:c r="A6" s="30" t="str">
        <x:v>indicator</x:v>
      </x:c>
      <x:c r="B6" s="30" t="str">
        <x:v>Concise task communication</x:v>
      </x:c>
      <x:c r="C6" s="33" t="n">
        <x:v>30</x:v>
      </x:c>
      <x:c r="D6" s="34" t="n">
        <x:v>0.7</x:v>
      </x:c>
      <x:c r="E6" s="30" t="str">
        <x:v>Talk it through</x:v>
      </x:c>
      <x:c r="F6" s="30" t="str">
        <x:v>Thinking</x:v>
      </x:c>
      <x:c r="G6" s="37" t="n">
        <x:f>C6*D6</x:f>
        <x:v>21</x:v>
      </x:c>
      <x:c r="H6" s="30" t="str">
        <x:v>Radio and debrief communication was economical and conclusion-led.</x:v>
      </x:c>
    </x:row>
    <x:row r="7" ht="15" hidden="0" customHeight="1">
      <x:c r="A7" s="30" t="str">
        <x:v>indicator</x:v>
      </x:c>
      <x:c r="B7" s="30" t="str">
        <x:v>Systematic preparation</x:v>
      </x:c>
      <x:c r="C7" s="33" t="n">
        <x:v>90</x:v>
      </x:c>
      <x:c r="D7" s="34" t="n">
        <x:v>0.95</x:v>
      </x:c>
      <x:c r="E7" s="30" t="str">
        <x:v>Map the path</x:v>
      </x:c>
      <x:c r="F7" s="30" t="str">
        <x:v>Navigation</x:v>
      </x:c>
      <x:c r="G7" s="37" t="n">
        <x:f>C7*D7</x:f>
        <x:v>85.5</x:v>
      </x:c>
      <x:c r="H7" s="30" t="str">
        <x:v>Training, planning, and testing occupied the core of mission preparation.</x:v>
      </x:c>
    </x:row>
    <x:row r="8" ht="15" hidden="0" customHeight="1">
      <x:c r="A8" s="30" t="str">
        <x:v>indicator</x:v>
      </x:c>
      <x:c r="B8" s="30" t="str">
        <x:v>Contingency and reliability planning</x:v>
      </x:c>
      <x:c r="C8" s="33" t="n">
        <x:v>86</x:v>
      </x:c>
      <x:c r="D8" s="34" t="n">
        <x:v>0.95</x:v>
      </x:c>
      <x:c r="E8" s="30" t="str">
        <x:v>Map the path</x:v>
      </x:c>
      <x:c r="F8" s="30" t="str">
        <x:v>Navigation</x:v>
      </x:c>
      <x:c r="G8" s="37" t="n">
        <x:f>C8*D8</x:f>
        <x:v>81.7</x:v>
      </x:c>
      <x:c r="H8" s="30" t="str">
        <x:v>Procedures, simulations, abort modes, and component reliability were central.</x:v>
      </x:c>
    </x:row>
    <x:row r="9" ht="15" hidden="0" customHeight="1">
      <x:c r="A9" s="30" t="str">
        <x:v>indicator</x:v>
      </x:c>
      <x:c r="B9" s="30" t="str">
        <x:v>Explicit decision thresholds</x:v>
      </x:c>
      <x:c r="C9" s="33" t="n">
        <x:v>82</x:v>
      </x:c>
      <x:c r="D9" s="34" t="n">
        <x:v>0.9</x:v>
      </x:c>
      <x:c r="E9" s="30" t="str">
        <x:v>Map the path</x:v>
      </x:c>
      <x:c r="F9" s="30" t="str">
        <x:v>Navigation</x:v>
      </x:c>
      <x:c r="G9" s="37" t="n">
        <x:f>C9*D9</x:f>
        <x:v>73.8</x:v>
      </x:c>
      <x:c r="H9" s="30" t="str">
        <x:v>Safety thresholds could replace the original objective with crew and craft survival.</x:v>
      </x:c>
    </x:row>
    <x:row r="10" ht="15" hidden="0" customHeight="1">
      <x:c r="A10" s="30" t="str">
        <x:v>indicator</x:v>
      </x:c>
      <x:c r="B10" s="30" t="str">
        <x:v>Adaptive improvisation (reverse coded)</x:v>
      </x:c>
      <x:c r="C10" s="33" t="n">
        <x:v>45</x:v>
      </x:c>
      <x:c r="D10" s="34" t="n">
        <x:v>0.85</x:v>
      </x:c>
      <x:c r="E10" s="30" t="str">
        <x:v>Map the path</x:v>
      </x:c>
      <x:c r="F10" s="30" t="str">
        <x:v>Navigation</x:v>
      </x:c>
      <x:c r="G10" s="37" t="n">
        <x:f>C10*D10</x:f>
        <x:v>38.25</x:v>
      </x:c>
      <x:c r="H10" s="30" t="str">
        <x:v>Gemini 8 and Apollo 11 show rapid deviation from the nominal plan.</x:v>
      </x:c>
    </x:row>
    <x:row r="11" ht="15" hidden="0" customHeight="1">
      <x:c r="A11" s="30" t="str">
        <x:v>indicator</x:v>
      </x:c>
      <x:c r="B11" s="30" t="str">
        <x:v>Methodical route selection</x:v>
      </x:c>
      <x:c r="C11" s="33" t="n">
        <x:v>82</x:v>
      </x:c>
      <x:c r="D11" s="34" t="n">
        <x:v>0.85</x:v>
      </x:c>
      <x:c r="E11" s="30" t="str">
        <x:v>Map the path</x:v>
      </x:c>
      <x:c r="F11" s="30" t="str">
        <x:v>Navigation</x:v>
      </x:c>
      <x:c r="G11" s="37" t="n">
        <x:f>C11*D11</x:f>
        <x:v>69.7</x:v>
      </x:c>
      <x:c r="H11" s="30" t="str">
        <x:v>Compared methods for earliest completion, speed, and highest confidence.</x:v>
      </x:c>
    </x:row>
    <x:row r="12" ht="15" hidden="0" customHeight="1">
      <x:c r="A12" s="30" t="str">
        <x:v>indicator</x:v>
      </x:c>
      <x:c r="B12" s="30" t="str">
        <x:v>Sustained specialization (reverse coded)</x:v>
      </x:c>
      <x:c r="C12" s="33" t="n">
        <x:v>25</x:v>
      </x:c>
      <x:c r="D12" s="34" t="n">
        <x:v>0.9</x:v>
      </x:c>
      <x:c r="E12" s="30" t="str">
        <x:v>Go wider</x:v>
      </x:c>
      <x:c r="F12" s="30" t="str">
        <x:v>Scope</x:v>
      </x:c>
      <x:c r="G12" s="37" t="n">
        <x:f>C12*D12</x:f>
        <x:v>22.5</x:v>
      </x:c>
      <x:c r="H12" s="30" t="str">
        <x:v>Deep engineering and simulation work pull strongly toward Go deeper.</x:v>
      </x:c>
    </x:row>
    <x:row r="13" ht="15" hidden="0" customHeight="1">
      <x:c r="A13" s="30" t="str">
        <x:v>indicator</x:v>
      </x:c>
      <x:c r="B13" s="30" t="str">
        <x:v>Systems integration</x:v>
      </x:c>
      <x:c r="C13" s="33" t="n">
        <x:v>58</x:v>
      </x:c>
      <x:c r="D13" s="34" t="n">
        <x:v>0.8</x:v>
      </x:c>
      <x:c r="E13" s="30" t="str">
        <x:v>Go wider</x:v>
      </x:c>
      <x:c r="F13" s="30" t="str">
        <x:v>Scope</x:v>
      </x:c>
      <x:c r="G13" s="37" t="n">
        <x:f>C13*D13</x:f>
        <x:v>46.400000000000006</x:v>
      </x:c>
      <x:c r="H13" s="30" t="str">
        <x:v>Worked across vehicle, crew, ground, and mission interfaces.</x:v>
      </x:c>
    </x:row>
    <x:row r="14" ht="15" hidden="0" customHeight="1">
      <x:c r="A14" s="30" t="str">
        <x:v>indicator</x:v>
      </x:c>
      <x:c r="B14" s="30" t="str">
        <x:v>Breadth of reading</x:v>
      </x:c>
      <x:c r="C14" s="33" t="n">
        <x:v>62</x:v>
      </x:c>
      <x:c r="D14" s="34" t="n">
        <x:v>0.6</x:v>
      </x:c>
      <x:c r="E14" s="30" t="str">
        <x:v>Go wider</x:v>
      </x:c>
      <x:c r="F14" s="30" t="str">
        <x:v>Scope</x:v>
      </x:c>
      <x:c r="G14" s="37" t="n">
        <x:f>C14*D14</x:f>
        <x:v>37.199999999999996</x:v>
      </x:c>
      <x:c r="H14" s="30" t="str">
        <x:v>Read fiction, nonfiction, aviation, science fiction, and whatever was available.</x:v>
      </x:c>
    </x:row>
    <x:row r="15" ht="15" hidden="0" customHeight="1">
      <x:c r="A15" s="30" t="str">
        <x:v>indicator</x:v>
      </x:c>
      <x:c r="B15" s="30" t="str">
        <x:v>Deep refinement (reverse coded)</x:v>
      </x:c>
      <x:c r="C15" s="33" t="n">
        <x:v>20</x:v>
      </x:c>
      <x:c r="D15" s="34" t="n">
        <x:v>0.9</x:v>
      </x:c>
      <x:c r="E15" s="30" t="str">
        <x:v>Go wider</x:v>
      </x:c>
      <x:c r="F15" s="30" t="str">
        <x:v>Scope</x:v>
      </x:c>
      <x:c r="G15" s="37" t="n">
        <x:f>C15*D15</x:f>
        <x:v>18</x:v>
      </x:c>
      <x:c r="H15" s="30" t="str">
        <x:v>Repeatedly stayed with fidelity, procedures, and failure modes.</x:v>
      </x:c>
    </x:row>
    <x:row r="16" ht="15" hidden="0" customHeight="1">
      <x:c r="A16" s="30" t="str">
        <x:v>indicator</x:v>
      </x:c>
      <x:c r="B16" s="30" t="str">
        <x:v>Broad research before convergence</x:v>
      </x:c>
      <x:c r="C16" s="33" t="n">
        <x:v>48</x:v>
      </x:c>
      <x:c r="D16" s="34" t="n">
        <x:v>0.75</x:v>
      </x:c>
      <x:c r="E16" s="30" t="str">
        <x:v>Go wider</x:v>
      </x:c>
      <x:c r="F16" s="30" t="str">
        <x:v>Scope</x:v>
      </x:c>
      <x:c r="G16" s="37" t="n">
        <x:f>C16*D16</x:f>
        <x:v>36</x:v>
      </x:c>
      <x:c r="H16" s="30" t="str">
        <x:v>Gathered broad expert knowledge but converged on an operational method.</x:v>
      </x:c>
    </x:row>
    <x:row r="17" ht="15" hidden="0" customHeight="1">
      <x:c r="A17" s="30" t="str">
        <x:v>indicator</x:v>
      </x:c>
      <x:c r="B17" s="30" t="str">
        <x:v>Preference for public visibility</x:v>
      </x:c>
      <x:c r="C17" s="33" t="n">
        <x:v>20</x:v>
      </x:c>
      <x:c r="D17" s="34" t="n">
        <x:v>0.85</x:v>
      </x:c>
      <x:c r="E17" s="30" t="str">
        <x:v>Expressive</x:v>
      </x:c>
      <x:c r="F17" s="30" t="str">
        <x:v>Expression</x:v>
      </x:c>
      <x:c r="G17" s="37" t="n">
        <x:f>C17*D17</x:f>
        <x:v>17</x:v>
      </x:c>
      <x:c r="H17" s="30" t="str">
        <x:v>Limited media exposure and redirected attention to the work.</x:v>
      </x:c>
    </x:row>
    <x:row r="18" ht="15" hidden="0" customHeight="1">
      <x:c r="A18" s="30" t="str">
        <x:v>indicator</x:v>
      </x:c>
      <x:c r="B18" s="30" t="str">
        <x:v>Emotional/rhetorical visibility</x:v>
      </x:c>
      <x:c r="C18" s="33" t="n">
        <x:v>25</x:v>
      </x:c>
      <x:c r="D18" s="34" t="n">
        <x:v>0.8</x:v>
      </x:c>
      <x:c r="E18" s="30" t="str">
        <x:v>Expressive</x:v>
      </x:c>
      <x:c r="F18" s="30" t="str">
        <x:v>Expression</x:v>
      </x:c>
      <x:c r="G18" s="37" t="n">
        <x:f>C18*D18</x:f>
        <x:v>20</x:v>
      </x:c>
      <x:c r="H18" s="30" t="str">
        <x:v>Public language was controlled and low-drama.</x:v>
      </x:c>
    </x:row>
    <x:row r="19" ht="15" hidden="0" customHeight="1">
      <x:c r="A19" s="30" t="str">
        <x:v>indicator</x:v>
      </x:c>
      <x:c r="B19" s="30" t="str">
        <x:v>Modesty (reverse coded)</x:v>
      </x:c>
      <x:c r="C19" s="33" t="n">
        <x:v>15</x:v>
      </x:c>
      <x:c r="D19" s="34" t="n">
        <x:v>0.9</x:v>
      </x:c>
      <x:c r="E19" s="30" t="str">
        <x:v>Expressive</x:v>
      </x:c>
      <x:c r="F19" s="30" t="str">
        <x:v>Expression</x:v>
      </x:c>
      <x:c r="G19" s="37" t="n">
        <x:f>C19*D19</x:f>
        <x:v>13.5</x:v>
      </x:c>
      <x:c r="H19" s="30" t="str">
        <x:v>Distributed credit and resisted heroic self-presentation.</x:v>
      </x:c>
    </x:row>
    <x:row r="20" ht="15" hidden="0" customHeight="1">
      <x:c r="A20" s="30" t="str">
        <x:v>indicator</x:v>
      </x:c>
      <x:c r="B20" s="30" t="str">
        <x:v>Assertive clarity</x:v>
      </x:c>
      <x:c r="C20" s="33" t="n">
        <x:v>50</x:v>
      </x:c>
      <x:c r="D20" s="34" t="n">
        <x:v>0.75</x:v>
      </x:c>
      <x:c r="E20" s="30" t="str">
        <x:v>Expressive</x:v>
      </x:c>
      <x:c r="F20" s="30" t="str">
        <x:v>Expression</x:v>
      </x:c>
      <x:c r="G20" s="37" t="n">
        <x:f>C20*D20</x:f>
        <x:v>37.5</x:v>
      </x:c>
      <x:c r="H20" s="30" t="str">
        <x:v>Could state decisions, deficiencies, and responsibilities directly.</x:v>
      </x:c>
    </x:row>
    <x:row r="21" ht="15" hidden="0" customHeight="1">
      <x:c r="A21" s="30" t="str">
        <x:v>indicator</x:v>
      </x:c>
      <x:c r="B21" s="30" t="str">
        <x:v>Symbolic public language</x:v>
      </x:c>
      <x:c r="C21" s="33" t="n">
        <x:v>45</x:v>
      </x:c>
      <x:c r="D21" s="34" t="n">
        <x:v>0.45</x:v>
      </x:c>
      <x:c r="E21" s="30" t="str">
        <x:v>Expressive</x:v>
      </x:c>
      <x:c r="F21" s="30" t="str">
        <x:v>Expression</x:v>
      </x:c>
      <x:c r="G21" s="37" t="n">
        <x:f>C21*D21</x:f>
        <x:v>20.25</x:v>
      </x:c>
      <x:c r="H21" s="30" t="str">
        <x:v>Memorable phrases exist, but the archive warns against defining style by one line.</x:v>
      </x:c>
    </x:row>
    <x:row r="22" ht="15" hidden="0" customHeight="1">
      <x:c r="A22" s="30"/>
      <x:c r="B22" s="30"/>
      <x:c r="C22" s="33"/>
      <x:c r="D22" s="34"/>
      <x:c r="E22" s="30"/>
      <x:c r="F22" s="30"/>
      <x:c r="G22" s="30"/>
      <x:c r="H22" s="30"/>
    </x:row>
    <x:row r="23" ht="79.19999694824219" hidden="0" customHeight="1">
      <x:c r="A23" s="35" t="str">
        <x:v>dimension</x:v>
      </x:c>
      <x:c r="B23" s="35" t="str">
        <x:v>Think it through - Talk it through</x:v>
      </x:c>
      <x:c r="C23" s="38" t="n">
        <x:f>SUM(G2:G6)/SUM(D2:D6)</x:f>
        <x:v>34.13157894736842</x:v>
      </x:c>
      <x:c r="D23" s="39" t="n">
        <x:f>AVERAGE(D2:D6)</x:f>
        <x:v>0.76</x:v>
      </x:c>
      <x:c r="E23" s="35" t="str">
        <x:v>Talk it through</x:v>
      </x:c>
      <x:c r="F23" s="35" t="str">
        <x:v>Thinking</x:v>
      </x:c>
      <x:c r="G23" s="35" t="n">
        <x:f>C23</x:f>
        <x:v>34.13157894736842</x:v>
      </x:c>
      <x:c r="H23" s="35" t="str">
        <x:v>Confidence-weighted mean; selected pole is below 50.</x:v>
      </x:c>
    </x:row>
    <x:row r="24" ht="92.4000015258789" hidden="0" customHeight="1">
      <x:c r="A24" s="35" t="str">
        <x:v>dimension</x:v>
      </x:c>
      <x:c r="B24" s="35" t="str">
        <x:v>Find the path - Map the path</x:v>
      </x:c>
      <x:c r="C24" s="38" t="n">
        <x:f>SUM(G7:G11)/SUM(D7:D11)</x:f>
        <x:v>77.54444444444444</x:v>
      </x:c>
      <x:c r="D24" s="39" t="n">
        <x:f>AVERAGE(D7:D11)</x:f>
        <x:v>0.9</x:v>
      </x:c>
      <x:c r="E24" s="35" t="str">
        <x:v>Map the path</x:v>
      </x:c>
      <x:c r="F24" s="35" t="str">
        <x:v>Navigation</x:v>
      </x:c>
      <x:c r="G24" s="35" t="n">
        <x:f>C24</x:f>
        <x:v>77.54444444444444</x:v>
      </x:c>
      <x:c r="H24" s="35" t="str">
        <x:v>Confidence-weighted mean; selected pole is at or above 50.</x:v>
      </x:c>
    </x:row>
    <x:row r="25" ht="79.19999694824219" hidden="0" customHeight="1">
      <x:c r="A25" s="35" t="str">
        <x:v>dimension</x:v>
      </x:c>
      <x:c r="B25" s="35" t="str">
        <x:v>Go deeper - Go wider</x:v>
      </x:c>
      <x:c r="C25" s="38" t="n">
        <x:f>SUM(G12:G16)/SUM(D12:D16)</x:f>
        <x:v>40.53164556962025</x:v>
      </x:c>
      <x:c r="D25" s="39" t="n">
        <x:f>AVERAGE(D12:D16)</x:f>
        <x:v>0.79</x:v>
      </x:c>
      <x:c r="E25" s="35" t="str">
        <x:v>Go wider</x:v>
      </x:c>
      <x:c r="F25" s="35" t="str">
        <x:v>Scope</x:v>
      </x:c>
      <x:c r="G25" s="35" t="n">
        <x:f>C25</x:f>
        <x:v>40.53164556962025</x:v>
      </x:c>
      <x:c r="H25" s="35" t="str">
        <x:v>Confidence-weighted mean; selected pole is below 50.</x:v>
      </x:c>
    </x:row>
    <x:row r="26" ht="79.19999694824219" hidden="0" customHeight="1">
      <x:c r="A26" s="35" t="str">
        <x:v>dimension</x:v>
      </x:c>
      <x:c r="B26" s="35" t="str">
        <x:v>Understated - Expressive</x:v>
      </x:c>
      <x:c r="C26" s="38" t="n">
        <x:f>SUM(G17:G21)/SUM(D17:D21)</x:f>
        <x:v>28.866666666666667</x:v>
      </x:c>
      <x:c r="D26" s="39" t="n">
        <x:f>AVERAGE(D17:D21)</x:f>
        <x:v>0.75</x:v>
      </x:c>
      <x:c r="E26" s="35" t="str">
        <x:v>Expressive</x:v>
      </x:c>
      <x:c r="F26" s="35" t="str">
        <x:v>Expression</x:v>
      </x:c>
      <x:c r="G26" s="35" t="n">
        <x:f>C26</x:f>
        <x:v>28.866666666666667</x:v>
      </x:c>
      <x:c r="H26" s="35" t="str">
        <x:v>Confidence-weighted mean; selected pole is below 50.</x:v>
      </x:c>
    </x:row>
    <x:row r="27" ht="15" hidden="0" customHeight="1">
      <x:c r="A27" s="30"/>
      <x:c r="B27" s="30"/>
      <x:c r="C27" s="33"/>
      <x:c r="D27" s="30"/>
      <x:c r="E27" s="30"/>
      <x:c r="F27" s="30"/>
      <x:c r="G27" s="30"/>
      <x:c r="H27" s="30"/>
    </x:row>
    <x:row r="28" ht="145.1999969482422" hidden="0" customHeight="1">
      <x:c r="A28" s="40" t="str">
        <x:v>result</x:v>
      </x:c>
      <x:c r="B28" s="40" t="str">
        <x:v>Overall archetype confidence</x:v>
      </x:c>
      <x:c r="C28" s="41" t="n">
        <x:f>AVERAGE(ABS(C23-50)*2,ABS(C24-50)*2,ABS(C25-50)*2,ABS(C26-50)*2)</x:f>
        <x:v>37.00727663039455</x:v>
      </x:c>
      <x:c r="D28" s="40"/>
      <x:c r="E28" s="40" t="str">
        <x:f>IF(AND(C23&lt;50,C24&gt;=50,C25&lt;50,C26&lt;50),"The Builder","Recheck archetype map")</x:f>
        <x:v>The Builder</x:v>
      </x:c>
      <x:c r="F28" s="40"/>
      <x:c r="G28" s="40"/>
      <x:c r="H28" s="40" t="str">
        <x:v>Pole-distance replication confidence; separate from evidence confidence.</x:v>
      </x:c>
    </x:row>
  </x:sheetData>
  <x:conditionalFormatting sqref="C2:C26">
    <x:cfRule type="colorScale" priority="1">
      <x:colorScale>
        <x:cfvo type="min"/>
        <x:cfvo type="percentile" val="50"/>
        <x:cfvo type="max"/>
        <x:color rgb="FFDDEBF7"/>
        <x:color rgb="FFFFF2CC"/>
        <x:color rgb="FFF4B183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3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4" hidden="0" customWidth="1"/>
    <x:col min="9" max="9" width="42" hidden="0" customWidth="1"/>
    <x:col min="10" max="10" width="42" hidden="0" customWidth="1"/>
    <x:col min="11" max="11" width="42" hidden="0" customWidth="1"/>
    <x:col min="12" max="12" width="55" hidden="0" customWidth="1"/>
  </x:cols>
  <x:sheetData>
    <x:row r="1" ht="39.599998474121094" hidden="0" customHeight="1">
      <x:c r="A1" s="31" t="str">
        <x:v>source_id</x:v>
      </x:c>
      <x:c r="B1" s="31" t="str">
        <x:v>source_type</x:v>
      </x:c>
      <x:c r="C1" s="31" t="str">
        <x:v>title</x:v>
      </x:c>
      <x:c r="D1" s="31" t="str">
        <x:v>author_or_institution</x:v>
      </x:c>
      <x:c r="E1" s="31" t="str">
        <x:v>date</x:v>
      </x:c>
      <x:c r="F1" s="31" t="str">
        <x:v>primary_or_secondary</x:v>
      </x:c>
      <x:c r="G1" s="31" t="str">
        <x:v>proximity</x:v>
      </x:c>
      <x:c r="H1" s="31" t="str">
        <x:v>reliability_0_1</x:v>
      </x:c>
      <x:c r="I1" s="31" t="str">
        <x:v>sections_supported</x:v>
      </x:c>
      <x:c r="J1" s="31" t="str">
        <x:v>key_evidence</x:v>
      </x:c>
      <x:c r="K1" s="31" t="str">
        <x:v>counterevidence_or_limits</x:v>
      </x:c>
      <x:c r="L1" s="31" t="str">
        <x:v>url</x:v>
      </x:c>
    </x:row>
    <x:row r="2" ht="250.8000030517578" hidden="0" customHeight="1">
      <x:c r="A2" s="32" t="str">
        <x:v>S01</x:v>
      </x:c>
      <x:c r="B2" s="32" t="str">
        <x:v>Institutional biography</x:v>
      </x:c>
      <x:c r="C2" s="32" t="str">
        <x:v>Neil A. Armstrong</x:v>
      </x:c>
      <x:c r="D2" s="32" t="str">
        <x:v>NASA</x:v>
      </x:c>
      <x:c r="E2" s="32" t="str">
        <x:v>n.d.</x:v>
      </x:c>
      <x:c r="F2" s="32" t="str">
        <x:v>Secondary institutional record</x:v>
      </x:c>
      <x:c r="G2" s="32" t="str">
        <x:v>Career summary drawing on agency records</x:v>
      </x:c>
      <x:c r="H2" s="42" t="n">
        <x:v>0.95</x:v>
      </x:c>
      <x:c r="I2" s="32" t="str">
        <x:v>Scope; career chronology; teaching; public service</x:v>
      </x:c>
      <x:c r="J2" s="32" t="str">
        <x:v>Documents naval aviation, NACA/NASA engineering and test flight, Gemini 8, Apollo 11, aeronautics administration, university teaching, and later commissions.</x:v>
      </x:c>
      <x:c r="K2" s="32" t="str">
        <x:v>Compressed biography; limited evidence about habitual work style.</x:v>
      </x:c>
      <x:c r="L2" s="32" t="str">
        <x:v>https://www.nasa.gov/people/neil-a-armstrong/</x:v>
      </x:c>
    </x:row>
    <x:row r="3" ht="303.6000061035156" hidden="0" customHeight="1">
      <x:c r="A3" s="32" t="str">
        <x:v>S02</x:v>
      </x:c>
      <x:c r="B3" s="32" t="str">
        <x:v>Oral history transcript</x:v>
      </x:c>
      <x:c r="C3" s="32" t="str">
        <x:v>Johnson Space Center Oral History Project: Neil A. Armstrong</x:v>
      </x:c>
      <x:c r="D3" s="32" t="str">
        <x:v>NASA Johnson Space Center</x:v>
      </x:c>
      <x:c r="E3" s="32" t="str">
        <x:v>2001-09-19</x:v>
      </x:c>
      <x:c r="F3" s="32" t="str">
        <x:v>Primary first-person testimony</x:v>
      </x:c>
      <x:c r="G3" s="32" t="str">
        <x:v>Retrospective participant account</x:v>
      </x:c>
      <x:c r="H3" s="42" t="n">
        <x:v>0.93</x:v>
      </x:c>
      <x:c r="I3" s="32" t="str">
        <x:v>Thinking; reading; navigation; collaboration; values; focus; teaching</x:v>
      </x:c>
      <x:c r="J3" s="32" t="str">
        <x:v>Armstrong describes self-directed aviation reading, research-pilot engineering, training/planning/testing, reliance on specialists, shared crew responsibility, risk thresholds, team reliability, and teaching.</x:v>
      </x:c>
      <x:c r="K3" s="32" t="str">
        <x:v>Recorded three decades after Apollo 11; memory and self-presentation may shape emphasis.</x:v>
      </x:c>
      <x:c r="L3" s="32" t="str">
        <x:v>https://www.nasa.gov/wp-content/uploads/2015/02/62281main_armstrong_oralhistory.pdf</x:v>
      </x:c>
    </x:row>
    <x:row r="4" ht="277.20001220703125" hidden="0" customHeight="1">
      <x:c r="A4" s="32" t="str">
        <x:v>S03</x:v>
      </x:c>
      <x:c r="B4" s="32" t="str">
        <x:v>Mission history</x:v>
      </x:c>
      <x:c r="C4" s="32" t="str">
        <x:v>Gemini’s First Docking Turns to Wild Ride in Orbit</x:v>
      </x:c>
      <x:c r="D4" s="32" t="str">
        <x:v>NASA</x:v>
      </x:c>
      <x:c r="E4" s="32" t="str">
        <x:v>2016-03-16</x:v>
      </x:c>
      <x:c r="F4" s="32" t="str">
        <x:v>Secondary institutional reconstruction</x:v>
      </x:c>
      <x:c r="G4" s="32" t="str">
        <x:v>Agency account based on mission records</x:v>
      </x:c>
      <x:c r="H4" s="42" t="n">
        <x:v>0.94</x:v>
      </x:c>
      <x:c r="I4" s="32" t="str">
        <x:v>Strengths; safety threshold; adaptability</x:v>
      </x:c>
      <x:c r="J4" s="32" t="str">
        <x:v>After an uncontrolled roll, Armstrong isolated the stuck thruster, shut down the orbital system, used re-entry controls, stabilized the spacecraft, and accepted the mandatory abort.</x:v>
      </x:c>
      <x:c r="K4" s="32" t="str">
        <x:v>Narrative summary; crew coordination detail is limited.</x:v>
      </x:c>
      <x:c r="L4" s="32" t="str">
        <x:v>https://www.nasa.gov/missions/gemini/gemini-viii/geminis-first-docking-turns-to-wild-ride-in-orbit/</x:v>
      </x:c>
    </x:row>
    <x:row r="5" ht="290.3999938964844" hidden="0" customHeight="1">
      <x:c r="A5" s="32" t="str">
        <x:v>S04</x:v>
      </x:c>
      <x:c r="B5" s="32" t="str">
        <x:v>Technical debrief transcript</x:v>
      </x:c>
      <x:c r="C5" s="32" t="str">
        <x:v>Apollo 11 Technical Crew Debriefing</x:v>
      </x:c>
      <x:c r="D5" s="32" t="str">
        <x:v>NASA / Apollo 11 crew</x:v>
      </x:c>
      <x:c r="E5" s="32" t="str">
        <x:v>1969</x:v>
      </x:c>
      <x:c r="F5" s="32" t="str">
        <x:v>Primary contemporaneous mission debrief</x:v>
      </x:c>
      <x:c r="G5" s="32" t="str">
        <x:v>Direct participant testimony soon after flight</x:v>
      </x:c>
      <x:c r="H5" s="42" t="n">
        <x:v>0.98</x:v>
      </x:c>
      <x:c r="I5" s="32" t="str">
        <x:v>Learning; simulation; writing; manual landing; collaboration</x:v>
      </x:c>
      <x:c r="J5" s="32" t="str">
        <x:v>The crew critiques simulator fidelity, favors operator checklists tied to use, calls for more realistic practice, and documents the transition to manual control over the lunar boulder field.</x:v>
      </x:c>
      <x:c r="K5" s="32" t="str">
        <x:v>Technical focus reveals little about behavior outside mission work.</x:v>
      </x:c>
      <x:c r="L5" s="32" t="str">
        <x:v>https://www.nasa.gov/wp-content/uploads/static/history/alsj/a11/a11tcdb.html</x:v>
      </x:c>
    </x:row>
    <x:row r="6" ht="264" hidden="0" customHeight="1">
      <x:c r="A6" s="32" t="str">
        <x:v>S05</x:v>
      </x:c>
      <x:c r="B6" s="32" t="str">
        <x:v>Mission transcript and commentary</x:v>
      </x:c>
      <x:c r="C6" s="32" t="str">
        <x:v>Apollo 11 Lunar Landing</x:v>
      </x:c>
      <x:c r="D6" s="32" t="str">
        <x:v>NASA Apollo Lunar Surface Journal</x:v>
      </x:c>
      <x:c r="E6" s="32" t="str">
        <x:v>1969-07-20 / annotated edition</x:v>
      </x:c>
      <x:c r="F6" s="32" t="str">
        <x:v>Primary transcript with expert annotations</x:v>
      </x:c>
      <x:c r="G6" s="32" t="str">
        <x:v>Contemporaneous communications</x:v>
      </x:c>
      <x:c r="H6" s="42" t="n">
        <x:v>0.99</x:v>
      </x:c>
      <x:c r="I6" s="32" t="str">
        <x:v>Communication; command judgment; manual landing</x:v>
      </x:c>
      <x:c r="J6" s="32" t="str">
        <x:v>Records program alarms, Mission Control go/no-go inputs, Armstrong’s manual-control check, the boulder field, Aldrin’s callouts, and the final landing sequence.</x:v>
      </x:c>
      <x:c r="K6" s="32" t="str">
        <x:v>Radio brevity is task-constrained and should not be generalized to all communication.</x:v>
      </x:c>
      <x:c r="L6" s="32" t="str">
        <x:v>https://www.nasa.gov/wp-content/uploads/static/history/alsj/a11/a11.landing.html</x:v>
      </x:c>
    </x:row>
    <x:row r="7" ht="290.3999938964844" hidden="0" customHeight="1">
      <x:c r="A7" s="32" t="str">
        <x:v>S06</x:v>
      </x:c>
      <x:c r="B7" s="32" t="str">
        <x:v>Mission analysis</x:v>
      </x:c>
      <x:c r="C7" s="32" t="str">
        <x:v>Apollo 11 Lunar Surface Journal: Mission Summary</x:v>
      </x:c>
      <x:c r="D7" s="32" t="str">
        <x:v>NASA Apollo Lunar Surface Journal</x:v>
      </x:c>
      <x:c r="E7" s="32" t="str">
        <x:v>annotated edition</x:v>
      </x:c>
      <x:c r="F7" s="32" t="str">
        <x:v>Secondary analysis grounded in mission records</x:v>
      </x:c>
      <x:c r="G7" s="32" t="str">
        <x:v>Technical historical reconstruction</x:v>
      </x:c>
      <x:c r="H7" s="42" t="n">
        <x:v>0.96</x:v>
      </x:c>
      <x:c r="I7" s="32" t="str">
        <x:v>Navigation; landing decision; counterevidence to rigidity</x:v>
      </x:c>
      <x:c r="J7" s="32" t="str">
        <x:v>Explains why Armstrong overflew the crater and boulder field, the planned division of tasks, and the manual-control choice when the required correction exceeded the fine-tuning system.</x:v>
      </x:c>
      <x:c r="K7" s="32" t="str">
        <x:v>Later commentary interprets rather than merely reproduces events.</x:v>
      </x:c>
      <x:c r="L7" s="32" t="str">
        <x:v>https://history.nasa.gov/wp-content/uploads/static/history/alsj/a11/a11.summary.html</x:v>
      </x:c>
    </x:row>
    <x:row r="8" ht="237.60000610351562" hidden="0" customHeight="1">
      <x:c r="A8" s="32" t="str">
        <x:v>S07</x:v>
      </x:c>
      <x:c r="B8" s="32" t="str">
        <x:v>Technical history monograph</x:v>
      </x:c>
      <x:c r="C8" s="32" t="str">
        <x:v>Lunar Landing Research Vehicle: Technology Drivetrain of the Apollo Program</x:v>
      </x:c>
      <x:c r="D8" s="32" t="str">
        <x:v>NASA</x:v>
      </x:c>
      <x:c r="E8" s="32" t="str">
        <x:v>2006</x:v>
      </x:c>
      <x:c r="F8" s="32" t="str">
        <x:v>Secondary technical history</x:v>
      </x:c>
      <x:c r="G8" s="32" t="str">
        <x:v>Program record and participant material</x:v>
      </x:c>
      <x:c r="H8" s="42" t="n">
        <x:v>0.95</x:v>
      </x:c>
      <x:c r="I8" s="32" t="str">
        <x:v>Training; preparation; manual override</x:v>
      </x:c>
      <x:c r="J8" s="32" t="str">
        <x:v>Shows that realistic free-flight training made human override usable when Apollo 11’s automated landing path led toward unsafe terrain.</x:v>
      </x:c>
      <x:c r="K8" s="32" t="str">
        <x:v>Program-level history; not a complete account of Armstrong’s individual contribution.</x:v>
      </x:c>
      <x:c r="L8" s="32" t="str">
        <x:v>https://www.nasa.gov/wp-content/uploads/2023/04/sp-4535.pdf</x:v>
      </x:c>
    </x:row>
    <x:row r="9" ht="171.60000610351562" hidden="0" customHeight="1">
      <x:c r="A9" s="32" t="str">
        <x:v>S08</x:v>
      </x:c>
      <x:c r="B9" s="32" t="str">
        <x:v>Archival collection</x:v>
      </x:c>
      <x:c r="C9" s="32" t="str">
        <x:v>Neil A. Armstrong Papers: Digitized Speeches</x:v>
      </x:c>
      <x:c r="D9" s="32" t="str">
        <x:v>Purdue University Archives and Special Collections</x:v>
      </x:c>
      <x:c r="E9" s="32" t="str">
        <x:v>collection</x:v>
      </x:c>
      <x:c r="F9" s="32" t="str">
        <x:v>Primary manuscript archive</x:v>
      </x:c>
      <x:c r="G9" s="32" t="str">
        <x:v>Armstrong’s prepared speech texts and annotations</x:v>
      </x:c>
      <x:c r="H9" s="42" t="n">
        <x:v>0.96</x:v>
      </x:c>
      <x:c r="I9" s="32" t="str">
        <x:v>Writing; expression; public service</x:v>
      </x:c>
      <x:c r="J9" s="32" t="str">
        <x:v>Nearly 500 digitized speech transcripts permit direct inspection of researched public writing across decades.</x:v>
      </x:c>
      <x:c r="K9" s="32" t="str">
        <x:v>Prepared public speech is not identical to everyday writing or spontaneous conversation.</x:v>
      </x:c>
      <x:c r="L9" s="32" t="str">
        <x:v>https://earchives.lib.purdue.edu/digital/collection/msa5</x:v>
      </x:c>
    </x:row>
    <x:row r="10" ht="211.1999969482422" hidden="0" customHeight="1">
      <x:c r="A10" s="32" t="str">
        <x:v>S09</x:v>
      </x:c>
      <x:c r="B10" s="32" t="str">
        <x:v>Archive methodology note</x:v>
      </x:c>
      <x:c r="C10" s="32" t="str">
        <x:v>Purdue Announces Digitization of Neil Armstrong’s Paper Speeches</x:v>
      </x:c>
      <x:c r="D10" s="32" t="str">
        <x:v>Purdue University Libraries</x:v>
      </x:c>
      <x:c r="E10" s="32" t="str">
        <x:v>2024-09-27</x:v>
      </x:c>
      <x:c r="F10" s="32" t="str">
        <x:v>Secondary archival description</x:v>
      </x:c>
      <x:c r="G10" s="32" t="str">
        <x:v>Direct description by holding archive</x:v>
      </x:c>
      <x:c r="H10" s="42" t="n">
        <x:v>0.94</x:v>
      </x:c>
      <x:c r="I10" s="32" t="str">
        <x:v>Writing and revision process</x:v>
      </x:c>
      <x:c r="J10" s="32" t="str">
        <x:v>Describes 7,700 pages of speech transcripts with Armstrong’s contextual notes, jokes, arrows, and wording changes.</x:v>
      </x:c>
      <x:c r="K10" s="32" t="str">
        <x:v>Describes the archive; does not independently evaluate each manuscript.</x:v>
      </x:c>
      <x:c r="L10" s="32" t="str">
        <x:v>https://blogs.lib.purdue.edu/news/2024/09/27/purdue-university-archives-and-special-collections-announces-digitization-of-neil-armstrongs-paper-speeches/</x:v>
      </x:c>
    </x:row>
    <x:row r="11" ht="303.6000061035156" hidden="0" customHeight="1">
      <x:c r="A11" s="32" t="str">
        <x:v>S10</x:v>
      </x:c>
      <x:c r="B11" s="32" t="str">
        <x:v>Institutional recollections</x:v>
      </x:c>
      <x:c r="C11" s="32" t="str">
        <x:v>His Time at UC</x:v>
      </x:c>
      <x:c r="D11" s="32" t="str">
        <x:v>University of Cincinnati Libraries</x:v>
      </x:c>
      <x:c r="E11" s="32" t="str">
        <x:v>2012 recollections</x:v>
      </x:c>
      <x:c r="F11" s="32" t="str">
        <x:v>Named colleague and student recollections</x:v>
      </x:c>
      <x:c r="G11" s="32" t="str">
        <x:v>Direct observers in teaching and engineering contexts</x:v>
      </x:c>
      <x:c r="H11" s="42" t="n">
        <x:v>0.82</x:v>
      </x:c>
      <x:c r="I11" s="32" t="str">
        <x:v>Teaching; real-world engineering; dedication; collaboration</x:v>
      </x:c>
      <x:c r="J11" s="32" t="str">
        <x:v>Students and colleagues recall Armstrong connecting engineering concepts to flight experience, teaching demanding courses, and returning promptly to class after technical work.</x:v>
      </x:c>
      <x:c r="K11" s="32" t="str">
        <x:v>Memorial context can amplify positive selection and hindsight.</x:v>
      </x:c>
      <x:c r="L11" s="32" t="str">
        <x:v>https://sites.libraries.uc.edu/armstrong/his-time-at-uc</x:v>
      </x:c>
    </x:row>
    <x:row r="12" ht="211.1999969482422" hidden="0" customHeight="1">
      <x:c r="A12" s="32" t="str">
        <x:v>S11</x:v>
      </x:c>
      <x:c r="B12" s="32" t="str">
        <x:v>Institutional profile</x:v>
      </x:c>
      <x:c r="C12" s="32" t="str">
        <x:v>Farewell Neil Armstrong: UC’s Most Famous, Humble Professor</x:v>
      </x:c>
      <x:c r="D12" s="32" t="str">
        <x:v>University of Cincinnati</x:v>
      </x:c>
      <x:c r="E12" s="32" t="str">
        <x:v>2013</x:v>
      </x:c>
      <x:c r="F12" s="32" t="str">
        <x:v>Secondary profile with named recollections</x:v>
      </x:c>
      <x:c r="G12" s="32" t="str">
        <x:v>Colleagues and university records</x:v>
      </x:c>
      <x:c r="H12" s="42" t="n">
        <x:v>0.84</x:v>
      </x:c>
      <x:c r="I12" s="32" t="str">
        <x:v>Understated expression; teaching; growth-edge counterfactual</x:v>
      </x:c>
      <x:c r="J12" s="32" t="str">
        <x:v>Colleagues describe Armstrong as seeking ordinary treatment, limiting media attention, and focusing on engineering teaching rather than celebrity.</x:v>
      </x:c>
      <x:c r="K12" s="32" t="str">
        <x:v>Retrospective memorial framing; reserve should not be equated with social isolation.</x:v>
      </x:c>
      <x:c r="L12" s="32" t="str">
        <x:v>https://magazine.uc.edu/issues/0413/Armstrong.html</x:v>
      </x:c>
    </x:row>
    <x:row r="13" ht="184.8000030517578" hidden="0" customHeight="1">
      <x:c r="A13" s="32" t="str">
        <x:v>S12</x:v>
      </x:c>
      <x:c r="B13" s="32" t="str">
        <x:v>Peer tributes</x:v>
      </x:c>
      <x:c r="C13" s="32" t="str">
        <x:v>Armstrong Tributes</x:v>
      </x:c>
      <x:c r="D13" s="32" t="str">
        <x:v>NASA Apollo Lunar Surface Journal</x:v>
      </x:c>
      <x:c r="E13" s="32" t="str">
        <x:v>2012</x:v>
      </x:c>
      <x:c r="F13" s="32" t="str">
        <x:v>Named peer recollections</x:v>
      </x:c>
      <x:c r="G13" s="32" t="str">
        <x:v>Direct professional colleagues</x:v>
      </x:c>
      <x:c r="H13" s="42" t="n">
        <x:v>0.85</x:v>
      </x:c>
      <x:c r="I13" s="32" t="str">
        <x:v>Judgment; writing; speech; professionalism</x:v>
      </x:c>
      <x:c r="J13" s="32" t="str">
        <x:v>Colleagues recall productive sampling decisions and speeches that were heavily researched, clear, and historically informed.</x:v>
      </x:c>
      <x:c r="K13" s="32" t="str">
        <x:v>Tributes are favorable by genre and require triangulation.</x:v>
      </x:c>
      <x:c r="L13" s="32" t="str">
        <x:v>https://www.nasa.gov/wp-content/uploads/static/history/alsj/a11/a11NAATributes.html</x:v>
      </x:c>
    </x:row>
    <x:row r="14" ht="211.1999969482422" hidden="0" customHeight="1">
      <x:c r="A14" s="32" t="str">
        <x:v>S13</x:v>
      </x:c>
      <x:c r="B14" s="32" t="str">
        <x:v>Institutional career history</x:v>
      </x:c>
      <x:c r="C14" s="32" t="str">
        <x:v>From Pilot to First on the Moon: Armstrong’s Start in Cleveland</x:v>
      </x:c>
      <x:c r="D14" s="32" t="str">
        <x:v>NASA</x:v>
      </x:c>
      <x:c r="E14" s="32" t="str">
        <x:v>2024-07-15</x:v>
      </x:c>
      <x:c r="F14" s="32" t="str">
        <x:v>Secondary institutional history</x:v>
      </x:c>
      <x:c r="G14" s="32" t="str">
        <x:v>Agency archives and career record</x:v>
      </x:c>
      <x:c r="H14" s="42" t="n">
        <x:v>0.94</x:v>
      </x:c>
      <x:c r="I14" s="32" t="str">
        <x:v>Long-term motivation; engineering identity</x:v>
      </x:c>
      <x:c r="J14" s="32" t="str">
        <x:v>Documents Armstrong’s early ambition to become an NACA test pilot and the engineering work that preceded his astronaut career.</x:v>
      </x:c>
      <x:c r="K14" s="32" t="str">
        <x:v>Career narrative cannot establish every later tendency.</x:v>
      </x:c>
      <x:c r="L14" s="32" t="str">
        <x:v>https://www.nasa.gov/history/from-pilot-to-first-on-the-moon-armstrongs-start-in-cleveland-2/</x:v>
      </x:c>
    </x:row>
    <x:row r="15" ht="171.60000610351562" hidden="0" customHeight="1">
      <x:c r="A15" s="32" t="str">
        <x:v>S14</x:v>
      </x:c>
      <x:c r="B15" s="32" t="str">
        <x:v>Alumni profile</x:v>
      </x:c>
      <x:c r="C15" s="32" t="str">
        <x:v>Saluting a Quiet Hero</x:v>
      </x:c>
      <x:c r="D15" s="32" t="str">
        <x:v>Purdue University College of Engineering</x:v>
      </x:c>
      <x:c r="E15" s="32" t="str">
        <x:v>2013-01-30</x:v>
      </x:c>
      <x:c r="F15" s="32" t="str">
        <x:v>Secondary profile containing a speech excerpt</x:v>
      </x:c>
      <x:c r="G15" s="32" t="str">
        <x:v>Institutional relationship and Armstrong’s own public words</x:v>
      </x:c>
      <x:c r="H15" s="42" t="n">
        <x:v>0.87</x:v>
      </x:c>
      <x:c r="I15" s="32" t="str">
        <x:v>Engineer identity; understated expression</x:v>
      </x:c>
      <x:c r="J15" s="32" t="str">
        <x:v>Preserves Armstrong’s humorous self-description as an engineer rather than a heroic exception.</x:v>
      </x:c>
      <x:c r="K15" s="32" t="str">
        <x:v>A single rhetorical passage should not carry the archetype by itself.</x:v>
      </x:c>
      <x:c r="L15" s="32" t="str">
        <x:v>https://engineering.purdue.edu/Engr/AboutUs/News/Publications/EngineeringImpact-legacy/2013_1/COEIssue/saluting-a-quiet-hero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0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9.599998474121094" hidden="0" customHeight="1">
      <x:c r="A1" s="31" t="str">
        <x:v>claim_id</x:v>
      </x:c>
      <x:c r="B1" s="31" t="str">
        <x:v>claim</x:v>
      </x:c>
      <x:c r="C1" s="31" t="str">
        <x:v>manual_sections</x:v>
      </x:c>
      <x:c r="D1" s="31" t="str">
        <x:v>supporting_source_ids</x:v>
      </x:c>
      <x:c r="E1" s="31" t="str">
        <x:v>confidence</x:v>
      </x:c>
      <x:c r="F1" s="31" t="str">
        <x:v>counterevidence_or_limit</x:v>
      </x:c>
    </x:row>
    <x:row r="2" ht="132" hidden="0" customHeight="1">
      <x:c r="A2" s="32" t="str">
        <x:v>C01</x:v>
      </x:c>
      <x:c r="B2" s="32" t="str">
        <x:v>Armstrong built clarity through an internal engineering model before concise external exchange.</x:v>
      </x:c>
      <x:c r="C2" s="32" t="str">
        <x:v>Thinking; communication</x:v>
      </x:c>
      <x:c r="D2" s="32" t="str">
        <x:v>S02;S04;S05</x:v>
      </x:c>
      <x:c r="E2" s="32" t="str">
        <x:v>Medium-high</x:v>
      </x:c>
      <x:c r="F2" s="32" t="str">
        <x:v>Team exchange was essential, so ‘private’ does not mean solitary.</x:v>
      </x:c>
    </x:row>
    <x:row r="3" ht="171.60000610351562" hidden="0" customHeight="1">
      <x:c r="A3" s="32" t="str">
        <x:v>C02</x:v>
      </x:c>
      <x:c r="B3" s="32" t="str">
        <x:v>Preparation centered on planning, testing, simulation, procedure development, and learning from subsystem experts.</x:v>
      </x:c>
      <x:c r="C3" s="32" t="str">
        <x:v>Navigation; environment</x:v>
      </x:c>
      <x:c r="D3" s="32" t="str">
        <x:v>S02;S04;S07</x:v>
      </x:c>
      <x:c r="E3" s="32" t="str">
        <x:v>High</x:v>
      </x:c>
      <x:c r="F3" s="32" t="str">
        <x:v>Realistic practice was often imperfect; he actively identified fidelity gaps.</x:v>
      </x:c>
    </x:row>
    <x:row r="4" ht="158.39999389648438" hidden="0" customHeight="1">
      <x:c r="A4" s="32" t="str">
        <x:v>C03</x:v>
      </x:c>
      <x:c r="B4" s="32" t="str">
        <x:v>He preferred operator checklists and concrete use situations to abstract logic diagrams alone.</x:v>
      </x:c>
      <x:c r="C4" s="32" t="str">
        <x:v>Reading; learning</x:v>
      </x:c>
      <x:c r="D4" s="32" t="str">
        <x:v>S04</x:v>
      </x:c>
      <x:c r="E4" s="32" t="str">
        <x:v>High within Apollo context</x:v>
      </x:c>
      <x:c r="F4" s="32" t="str">
        <x:v>May not generalize to every academic subject.</x:v>
      </x:c>
    </x:row>
    <x:row r="5" ht="158.39999389648438" hidden="0" customHeight="1">
      <x:c r="A5" s="32" t="str">
        <x:v>C04</x:v>
      </x:c>
      <x:c r="B5" s="32" t="str">
        <x:v>When mission risk crossed a threshold, protecting crew and craft replaced the original objective.</x:v>
      </x:c>
      <x:c r="C5" s="32" t="str">
        <x:v>Care; strengths</x:v>
      </x:c>
      <x:c r="D5" s="32" t="str">
        <x:v>S02;S03</x:v>
      </x:c>
      <x:c r="E5" s="32" t="str">
        <x:v>High</x:v>
      </x:c>
      <x:c r="F5" s="32" t="str">
        <x:v>Threshold judgment still occurred under uncertainty.</x:v>
      </x:c>
    </x:row>
    <x:row r="6" ht="171.60000610351562" hidden="0" customHeight="1">
      <x:c r="A6" s="32" t="str">
        <x:v>C05</x:v>
      </x:c>
      <x:c r="B6" s="32" t="str">
        <x:v>The Apollo 11 manual landing combined prior preparation with adaptation when the planned path became unsafe.</x:v>
      </x:c>
      <x:c r="C6" s="32" t="str">
        <x:v>Strengths; internal conflict</x:v>
      </x:c>
      <x:c r="D6" s="32" t="str">
        <x:v>S04;S05;S06;S07</x:v>
      </x:c>
      <x:c r="E6" s="32" t="str">
        <x:v>Very high</x:v>
      </x:c>
      <x:c r="F6" s="32" t="str">
        <x:v>Aldrin and Mission Control were active contributors; it was not a lone act.</x:v>
      </x:c>
    </x:row>
    <x:row r="7" ht="184.8000030517578" hidden="0" customHeight="1">
      <x:c r="A7" s="32" t="str">
        <x:v>C06</x:v>
      </x:c>
      <x:c r="B7" s="32" t="str">
        <x:v>He treated crew and Mission Control as one team with divided depth, shared capability, and clear command responsibility.</x:v>
      </x:c>
      <x:c r="C7" s="32" t="str">
        <x:v>Collaboration</x:v>
      </x:c>
      <x:c r="D7" s="32" t="str">
        <x:v>S02;S05</x:v>
      </x:c>
      <x:c r="E7" s="32" t="str">
        <x:v>High</x:v>
      </x:c>
      <x:c r="F7" s="32" t="str">
        <x:v>Command structure remained hierarchical at the final decision point.</x:v>
      </x:c>
    </x:row>
    <x:row r="8" ht="184.8000030517578" hidden="0" customHeight="1">
      <x:c r="A8" s="32" t="str">
        <x:v>C07</x:v>
      </x:c>
      <x:c r="B8" s="32" t="str">
        <x:v>He distributed Apollo’s success across thousands of contributors and emphasized component-level quality.</x:v>
      </x:c>
      <x:c r="C8" s="32" t="str">
        <x:v>Values; expression</x:v>
      </x:c>
      <x:c r="D8" s="32" t="str">
        <x:v>S02</x:v>
      </x:c>
      <x:c r="E8" s="32" t="str">
        <x:v>High</x:v>
      </x:c>
      <x:c r="F8" s="32" t="str">
        <x:v>First-person retrospective may also express a preferred public ethic.</x:v>
      </x:c>
    </x:row>
    <x:row r="9" ht="171.60000610351562" hidden="0" customHeight="1">
      <x:c r="A9" s="32" t="str">
        <x:v>C08</x:v>
      </x:c>
      <x:c r="B9" s="32" t="str">
        <x:v>His attention could become intensely mission-focused and relatively indifferent to status or assignment prestige.</x:v>
      </x:c>
      <x:c r="C9" s="32" t="str">
        <x:v>Scope; expression</x:v>
      </x:c>
      <x:c r="D9" s="32" t="str">
        <x:v>S02</x:v>
      </x:c>
      <x:c r="E9" s="32" t="str">
        <x:v>High</x:v>
      </x:c>
      <x:c r="F9" s="32" t="str">
        <x:v>Such focus was role-specific and should not define his entire life.</x:v>
      </x:c>
    </x:row>
    <x:row r="10" ht="158.39999389648438" hidden="0" customHeight="1">
      <x:c r="A10" s="32" t="str">
        <x:v>C09</x:v>
      </x:c>
      <x:c r="B10" s="32" t="str">
        <x:v>Public writing was researched and revised, while remaining economical and technically grounded.</x:v>
      </x:c>
      <x:c r="C10" s="32" t="str">
        <x:v>Writing; expression</x:v>
      </x:c>
      <x:c r="D10" s="32" t="str">
        <x:v>S08;S09;S12;S14</x:v>
      </x:c>
      <x:c r="E10" s="32" t="str">
        <x:v>Medium-high</x:v>
      </x:c>
      <x:c r="F10" s="32" t="str">
        <x:v>Prepared speeches differ from everyday writing; full-manuscript sampling remains possible.</x:v>
      </x:c>
    </x:row>
    <x:row r="11" ht="184.8000030517578" hidden="0" customHeight="1">
      <x:c r="A11" s="32" t="str">
        <x:v>C10</x:v>
      </x:c>
      <x:c r="B11" s="32" t="str">
        <x:v>Teaching extended operational engineering knowledge to students and became a major post-NASA role.</x:v>
      </x:c>
      <x:c r="C11" s="32" t="str">
        <x:v>Moving forward; environment</x:v>
      </x:c>
      <x:c r="D11" s="32" t="str">
        <x:v>S01;S02;S10;S11</x:v>
      </x:c>
      <x:c r="E11" s="32" t="str">
        <x:v>High</x:v>
      </x:c>
      <x:c r="F11" s="32" t="str">
        <x:v>Later commercial and policy roles are less visible in this manual.</x:v>
      </x:c>
    </x:row>
    <x:row r="12" ht="118.80000305175781" hidden="0" customHeight="1">
      <x:c r="A12" s="32" t="str">
        <x:v>C11</x:v>
      </x:c>
      <x:c r="B12" s="32" t="str">
        <x:v>He limited celebrity exposure and preferred attention on engineering work.</x:v>
      </x:c>
      <x:c r="C12" s="32" t="str">
        <x:v>Expression; growth edge</x:v>
      </x:c>
      <x:c r="D12" s="32" t="str">
        <x:v>S11;S14</x:v>
      </x:c>
      <x:c r="E12" s="32" t="str">
        <x:v>Medium-high</x:v>
      </x:c>
      <x:c r="F12" s="32" t="str">
        <x:v>Reserve did not prevent public speeches, policy advice, or commission work.</x:v>
      </x:c>
    </x:row>
    <x:row r="13" ht="211.1999969482422" hidden="0" customHeight="1">
      <x:c r="A13" s="32" t="str">
        <x:v>C12</x:v>
      </x:c>
      <x:c r="B13" s="32" t="str">
        <x:v>The Builder archetype best fits the combined pole pattern, with meaningful adaptive and systems-breadth counterevidence.</x:v>
      </x:c>
      <x:c r="C13" s="32" t="str">
        <x:v>Archetype</x:v>
      </x:c>
      <x:c r="D13" s="32" t="str">
        <x:v>C01–C11; scoring model</x:v>
      </x:c>
      <x:c r="E13" s="32" t="str">
        <x:v>Moderate</x:v>
      </x:c>
      <x:c r="F13" s="32" t="str">
        <x:v>The four-pole framework is interpretive, not a validated historical instrument.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5" hidden="0" customWidth="1"/>
    <x:col min="3" max="3" width="55" hidden="0" customWidth="1"/>
    <x:col min="4" max="4" width="55" hidden="0" customWidth="1"/>
  </x:cols>
  <x:sheetData>
    <x:row r="1" ht="39.599998474121094" hidden="0" customHeight="1">
      <x:c r="A1" s="31" t="str">
        <x:v>target_inference</x:v>
      </x:c>
      <x:c r="B1" s="31" t="str">
        <x:v>counterevidence</x:v>
      </x:c>
      <x:c r="C1" s="31" t="str">
        <x:v>interpretive_guardrail</x:v>
      </x:c>
      <x:c r="D1" s="31" t="str">
        <x:v>scoring_impact</x:v>
      </x:c>
    </x:row>
    <x:row r="2" ht="171.60000610351562" hidden="0" customHeight="1">
      <x:c r="A2" s="32" t="str">
        <x:v>Think it through</x:v>
      </x:c>
      <x:c r="B2" s="32" t="str">
        <x:v>Armstrong spent enormous time with subsystem experts, crews, instructors, and Mission Control.</x:v>
      </x:c>
      <x:c r="C2" s="32" t="str">
        <x:v>Do not confuse internal preparation and concise speech with isolation or dislike of collaboration.</x:v>
      </x:c>
      <x:c r="D2" s="32" t="str">
        <x:v>Keep the score closer to center than a ‘recluse’ stereotype would imply.</x:v>
      </x:c>
    </x:row>
    <x:row r="3" ht="171.60000610351562" hidden="0" customHeight="1">
      <x:c r="A3" s="32" t="str">
        <x:v>Map the path</x:v>
      </x:c>
      <x:c r="B3" s="32" t="str">
        <x:v>Gemini 8 and Apollo 11 required rapid diagnosis, manual override, and abandonment of the nominal plan.</x:v>
      </x:c>
      <x:c r="C3" s="32" t="str">
        <x:v>Mapping was a platform for adaptation, not compliance for its own sake.</x:v>
      </x:c>
      <x:c r="D3" s="32" t="str">
        <x:v>Strong Map score remains, but not an extreme score.</x:v>
      </x:c>
    </x:row>
    <x:row r="4" ht="184.8000030517578" hidden="0" customHeight="1">
      <x:c r="A4" s="32" t="str">
        <x:v>Go deeper</x:v>
      </x:c>
      <x:c r="B4" s="32" t="str">
        <x:v>He read widely, worked across integrated spacecraft systems, taught several engineering subjects, and advised on policy.</x:v>
      </x:c>
      <x:c r="C4" s="32" t="str">
        <x:v>Depth coexisted with systems breadth.</x:v>
      </x:c>
      <x:c r="D4" s="32" t="str">
        <x:v>Scope score stays near center.</x:v>
      </x:c>
    </x:row>
    <x:row r="5" ht="211.1999969482422" hidden="0" customHeight="1">
      <x:c r="A5" s="32" t="str">
        <x:v>Understated</x:v>
      </x:c>
      <x:c r="B5" s="32" t="str">
        <x:v>He delivered researched speeches, made clear command decisions, taught publicly, and served on national commissions.</x:v>
      </x:c>
      <x:c r="C5" s="32" t="str">
        <x:v>Understated means low-display, not voiceless or passive.</x:v>
      </x:c>
      <x:c r="D5" s="32" t="str">
        <x:v>Expression score is low but not minimal.</x:v>
      </x:c>
    </x:row>
    <x:row r="6" ht="118.80000305175781" hidden="0" customHeight="1">
      <x:c r="A6" s="32" t="str">
        <x:v>Calm under pressure</x:v>
      </x:c>
      <x:c r="B6" s="32" t="str">
        <x:v>Biomedical data show a high heart rate during the lunar landing.</x:v>
      </x:c>
      <x:c r="C6" s="32" t="str">
        <x:v>Calm behavior does not imply absence of physiological stress or fear.</x:v>
      </x:c>
      <x:c r="D6" s="32" t="str">
        <x:v>Describe operational steadiness, not emotional invulnerability.</x:v>
      </x:c>
    </x:row>
    <x:row r="7" ht="184.8000030517578" hidden="0" customHeight="1">
      <x:c r="A7" s="32" t="str">
        <x:v>Hero narrative</x:v>
      </x:c>
      <x:c r="B7" s="32" t="str">
        <x:v>Apollo 11 depended on Aldrin, Collins, flight controllers, engineers, technicians, contractors, and mission rules.</x:v>
      </x:c>
      <x:c r="C7" s="32" t="str">
        <x:v>Avoid attributing collective success to one personality.</x:v>
      </x:c>
      <x:c r="D7" s="32" t="str">
        <x:v>Manual repeatedly assigns credit to the integrated team.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6.399999618530273" hidden="0" customHeight="1">
      <x:c r="A1" s="31" t="str">
        <x:v>pole_key</x:v>
      </x:c>
      <x:c r="B1" s="31" t="str">
        <x:v>archetype</x:v>
      </x:c>
      <x:c r="C1" s="31" t="str">
        <x:v>breed</x:v>
      </x:c>
      <x:c r="D1" s="31" t="str">
        <x:v>magical_artifact</x:v>
      </x:c>
    </x:row>
    <x:row r="2" ht="39.599998474121094" hidden="0" customHeight="1">
      <x:c r="A2" s="43" t="str">
        <x:v>Private|Find|Deep|Understated</x:v>
      </x:c>
      <x:c r="B2" s="43" t="str">
        <x:v>The Refiner</x:v>
      </x:c>
      <x:c r="C2" s="43" t="str">
        <x:v>Miniature Schnauzer</x:v>
      </x:c>
      <x:c r="D2" s="43" t="str">
        <x:v>Starforged Lens</x:v>
      </x:c>
    </x:row>
    <x:row r="3" ht="39.599998474121094" hidden="0" customHeight="1">
      <x:c r="A3" s="43" t="str">
        <x:v>Private|Find|Deep|Expressive</x:v>
      </x:c>
      <x:c r="B3" s="43" t="str">
        <x:v>The Maker</x:v>
      </x:c>
      <x:c r="C3" s="43" t="str">
        <x:v>Shiba Inu</x:v>
      </x:c>
      <x:c r="D3" s="43" t="str">
        <x:v>Shaper’s Core</x:v>
      </x:c>
    </x:row>
    <x:row r="4" ht="39.599998474121094" hidden="0" customHeight="1">
      <x:c r="A4" s="43" t="str">
        <x:v>Dialogic|Find|Deep|Understated</x:v>
      </x:c>
      <x:c r="B4" s="43" t="str">
        <x:v>The Scout</x:v>
      </x:c>
      <x:c r="C4" s="43" t="str">
        <x:v>Shetland Sheepdog</x:v>
      </x:c>
      <x:c r="D4" s="43" t="str">
        <x:v>Farwatch Lens</x:v>
      </x:c>
    </x:row>
    <x:row r="5" ht="39.599998474121094" hidden="0" customHeight="1">
      <x:c r="A5" s="43" t="str">
        <x:v>Dialogic|Find|Deep|Expressive</x:v>
      </x:c>
      <x:c r="B5" s="43" t="str">
        <x:v>The Pathfinder</x:v>
      </x:c>
      <x:c r="C5" s="43" t="str">
        <x:v>Pomeranian</x:v>
      </x:c>
      <x:c r="D5" s="43" t="str">
        <x:v>Firstlight Ember</x:v>
      </x:c>
    </x:row>
    <x:row r="6" ht="52.79999923706055" hidden="0" customHeight="1">
      <x:c r="A6" s="40" t="str">
        <x:v>Private|Map|Deep|Understated</x:v>
      </x:c>
      <x:c r="B6" s="40" t="str">
        <x:v>The Builder</x:v>
      </x:c>
      <x:c r="C6" s="40" t="str">
        <x:v>Rottweiler</x:v>
      </x:c>
      <x:c r="D6" s="40" t="str">
        <x:v>Keystone of Binding</x:v>
      </x:c>
    </x:row>
    <x:row r="7" ht="39.599998474121094" hidden="0" customHeight="1">
      <x:c r="A7" s="43" t="str">
        <x:v>Private|Map|Deep|Expressive</x:v>
      </x:c>
      <x:c r="B7" s="43" t="str">
        <x:v>The Curator</x:v>
      </x:c>
      <x:c r="C7" s="43" t="str">
        <x:v>Poodle</x:v>
      </x:c>
      <x:c r="D7" s="43" t="str">
        <x:v>Memory Reliquary</x:v>
      </x:c>
    </x:row>
    <x:row r="8" ht="39.599998474121094" hidden="0" customHeight="1">
      <x:c r="A8" s="43" t="str">
        <x:v>Dialogic|Map|Deep|Understated</x:v>
      </x:c>
      <x:c r="B8" s="43" t="str">
        <x:v>The Cartographer</x:v>
      </x:c>
      <x:c r="C8" s="43" t="str">
        <x:v>Great Pyrenees</x:v>
      </x:c>
      <x:c r="D8" s="43" t="str">
        <x:v>Astral Measure</x:v>
      </x:c>
    </x:row>
    <x:row r="9" ht="39.599998474121094" hidden="0" customHeight="1">
      <x:c r="A9" s="43" t="str">
        <x:v>Dialogic|Map|Deep|Expressive</x:v>
      </x:c>
      <x:c r="B9" s="43" t="str">
        <x:v>The Visionary</x:v>
      </x:c>
      <x:c r="C9" s="43" t="str">
        <x:v>Afghan Hound</x:v>
      </x:c>
      <x:c r="D9" s="43" t="str">
        <x:v>Prism of Elsewhere</x:v>
      </x:c>
    </x:row>
    <x:row r="10" ht="52.79999923706055" hidden="0" customHeight="1">
      <x:c r="A10" s="43" t="str">
        <x:v>Private|Find|Wide|Understated</x:v>
      </x:c>
      <x:c r="B10" s="43" t="str">
        <x:v>The Listener</x:v>
      </x:c>
      <x:c r="C10" s="43" t="str">
        <x:v>Cavalier King Charles Spaniel</x:v>
      </x:c>
      <x:c r="D10" s="43" t="str">
        <x:v>Echo Gramophone</x:v>
      </x:c>
    </x:row>
    <x:row r="11" ht="39.599998474121094" hidden="0" customHeight="1">
      <x:c r="A11" s="43" t="str">
        <x:v>Private|Find|Wide|Expressive</x:v>
      </x:c>
      <x:c r="B11" s="43" t="str">
        <x:v>The Improviser</x:v>
      </x:c>
      <x:c r="C11" s="43" t="str">
        <x:v>Australian Shepherd</x:v>
      </x:c>
      <x:c r="D11" s="43" t="str">
        <x:v>Fluxboard</x:v>
      </x:c>
    </x:row>
    <x:row r="12" ht="39.599998474121094" hidden="0" customHeight="1">
      <x:c r="A12" s="43" t="str">
        <x:v>Dialogic|Find|Wide|Understated</x:v>
      </x:c>
      <x:c r="B12" s="43" t="str">
        <x:v>The Forager</x:v>
      </x:c>
      <x:c r="C12" s="43" t="str">
        <x:v>Beagle</x:v>
      </x:c>
      <x:c r="D12" s="43" t="str">
        <x:v>Finder’s Chest</x:v>
      </x:c>
    </x:row>
    <x:row r="13" ht="39.599998474121094" hidden="0" customHeight="1">
      <x:c r="A13" s="43" t="str">
        <x:v>Dialogic|Find|Wide|Expressive</x:v>
      </x:c>
      <x:c r="B13" s="43" t="str">
        <x:v>The Explorer</x:v>
      </x:c>
      <x:c r="C13" s="43" t="str">
        <x:v>Golden Retriever</x:v>
      </x:c>
      <x:c r="D13" s="43" t="str">
        <x:v>Unbound Compass</x:v>
      </x:c>
    </x:row>
    <x:row r="14" ht="39.599998474121094" hidden="0" customHeight="1">
      <x:c r="A14" s="43" t="str">
        <x:v>Private|Map|Wide|Understated</x:v>
      </x:c>
      <x:c r="B14" s="43" t="str">
        <x:v>The Examiner</x:v>
      </x:c>
      <x:c r="C14" s="43" t="str">
        <x:v>Dachshund</x:v>
      </x:c>
      <x:c r="D14" s="43" t="str">
        <x:v>Verity Lens</x:v>
      </x:c>
    </x:row>
    <x:row r="15" ht="39.599998474121094" hidden="0" customHeight="1">
      <x:c r="A15" s="43" t="str">
        <x:v>Private|Map|Wide|Expressive</x:v>
      </x:c>
      <x:c r="B15" s="43" t="str">
        <x:v>The Guide</x:v>
      </x:c>
      <x:c r="C15" s="43" t="str">
        <x:v>Border Collie</x:v>
      </x:c>
      <x:c r="D15" s="43" t="str">
        <x:v>Pathlight Lantern</x:v>
      </x:c>
    </x:row>
    <x:row r="16" ht="39.599998474121094" hidden="0" customHeight="1">
      <x:c r="A16" s="43" t="str">
        <x:v>Dialogic|Map|Wide|Understated</x:v>
      </x:c>
      <x:c r="B16" s="43" t="str">
        <x:v>The Gatherer</x:v>
      </x:c>
      <x:c r="C16" s="43" t="str">
        <x:v>Labrador Retriever</x:v>
      </x:c>
      <x:c r="D16" s="43" t="str">
        <x:v>Bell of Accord</x:v>
      </x:c>
    </x:row>
    <x:row r="17" ht="39.599998474121094" hidden="0" customHeight="1">
      <x:c r="A17" s="43" t="str">
        <x:v>Dialogic|Map|Wide|Expressive</x:v>
      </x:c>
      <x:c r="B17" s="43" t="str">
        <x:v>The Conductor</x:v>
      </x:c>
      <x:c r="C17" s="43" t="str">
        <x:v>Corgi</x:v>
      </x:c>
      <x:c r="D17" s="43" t="str">
        <x:v>Baton of Many</x:v>
      </x:c>
    </x:row>
  </x:sheetData>
  <x:pageMargins left="0.7" right="0.7" top="0.75" bottom="0.75" header="0.3" footer="0.3"/>
</x:worksheet>
</file>